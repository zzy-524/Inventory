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40" windowHeight="11960" firstSheet="1" activeTab="1"/>
  </bookViews>
  <sheets>
    <sheet name="进销台账" sheetId="1" state="hidden" r:id="rId1"/>
    <sheet name="行政仓库" sheetId="2" r:id="rId2"/>
    <sheet name="行政办公用品" sheetId="3" state="hidden" r:id="rId3"/>
    <sheet name="产研中心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20箱</t>
        </r>
      </text>
    </comment>
  </commentList>
</comments>
</file>

<file path=xl/sharedStrings.xml><?xml version="1.0" encoding="utf-8"?>
<sst xmlns="http://schemas.openxmlformats.org/spreadsheetml/2006/main" count="173" uniqueCount="90">
  <si>
    <t>2026年5月物资进销存台账表</t>
  </si>
  <si>
    <t>序号</t>
  </si>
  <si>
    <t>分类</t>
  </si>
  <si>
    <t>名称</t>
  </si>
  <si>
    <t>规格型号</t>
  </si>
  <si>
    <t>单位</t>
  </si>
  <si>
    <t>期初库存</t>
  </si>
  <si>
    <t>本月入库数量</t>
  </si>
  <si>
    <t>本月出库数量</t>
  </si>
  <si>
    <t>期末库存</t>
  </si>
  <si>
    <t>行政仓库</t>
  </si>
  <si>
    <t>怡宝矿泉水</t>
  </si>
  <si>
    <t>350ML/24瓶</t>
  </si>
  <si>
    <t>瓶</t>
  </si>
  <si>
    <t>大瓶矿泉水</t>
  </si>
  <si>
    <t>5L  4瓶/箱</t>
  </si>
  <si>
    <t>宋柚汁</t>
  </si>
  <si>
    <t>6瓶/箱</t>
  </si>
  <si>
    <t>东方美人茶</t>
  </si>
  <si>
    <t>1盒/袋</t>
  </si>
  <si>
    <t>袋</t>
  </si>
  <si>
    <t>白芽奇兰</t>
  </si>
  <si>
    <t>2盒/袋</t>
  </si>
  <si>
    <t>白毫银针高山白茶</t>
  </si>
  <si>
    <t>藏茶</t>
  </si>
  <si>
    <t>盒</t>
  </si>
  <si>
    <t>米歌纯米吟酿清酒</t>
  </si>
  <si>
    <t>6瓶/盒</t>
  </si>
  <si>
    <t>行政办公用品</t>
  </si>
  <si>
    <t>红色A4纸</t>
  </si>
  <si>
    <t>张</t>
  </si>
  <si>
    <t>绿色美纹纸</t>
  </si>
  <si>
    <t>卷</t>
  </si>
  <si>
    <t>白色美纹纸</t>
  </si>
  <si>
    <t>蓝色签约本</t>
  </si>
  <si>
    <t>本</t>
  </si>
  <si>
    <t>2026年5月份行政仓库台账</t>
  </si>
  <si>
    <t>物品名称</t>
  </si>
  <si>
    <t>本月期初</t>
  </si>
  <si>
    <t>本月入库记录</t>
  </si>
  <si>
    <t>本月出库记录</t>
  </si>
  <si>
    <t>本月期末</t>
  </si>
  <si>
    <t>剩余数量</t>
  </si>
  <si>
    <t>第1周</t>
  </si>
  <si>
    <t>第2周</t>
  </si>
  <si>
    <t>第3周</t>
  </si>
  <si>
    <t>第4周</t>
  </si>
  <si>
    <t>入库总数</t>
  </si>
  <si>
    <t>出库总数</t>
  </si>
  <si>
    <t>剩余总数</t>
  </si>
  <si>
    <t>大瓶矿泉水（二楼仓库）</t>
  </si>
  <si>
    <t>2026年5月份办公用品台账</t>
  </si>
  <si>
    <t>第5周</t>
  </si>
  <si>
    <t>订书钉</t>
  </si>
  <si>
    <t>1000个/盒</t>
  </si>
  <si>
    <t>得力订书机</t>
  </si>
  <si>
    <t>0425</t>
  </si>
  <si>
    <t>个</t>
  </si>
  <si>
    <t>计算器</t>
  </si>
  <si>
    <t>No.837</t>
  </si>
  <si>
    <t>回形针</t>
  </si>
  <si>
    <t>100只/盒</t>
  </si>
  <si>
    <t>直尺</t>
  </si>
  <si>
    <t>30公分</t>
  </si>
  <si>
    <t>把</t>
  </si>
  <si>
    <t>产研中心资产实物盘点表</t>
  </si>
  <si>
    <t>资产名称</t>
  </si>
  <si>
    <t>数量</t>
  </si>
  <si>
    <t>资产性质</t>
  </si>
  <si>
    <t>建账日期</t>
  </si>
  <si>
    <t>资产编号</t>
  </si>
  <si>
    <t>实物使用/保管人</t>
  </si>
  <si>
    <t>备注</t>
  </si>
  <si>
    <t>笔记本电脑套装</t>
  </si>
  <si>
    <t>苹果</t>
  </si>
  <si>
    <t>台</t>
  </si>
  <si>
    <t>自有</t>
  </si>
  <si>
    <t>CY-001</t>
  </si>
  <si>
    <t>周鹏</t>
  </si>
  <si>
    <t>华硕</t>
  </si>
  <si>
    <t>CY-002</t>
  </si>
  <si>
    <t>谭本立</t>
  </si>
  <si>
    <t>CY-003</t>
  </si>
  <si>
    <t>李素馨</t>
  </si>
  <si>
    <t>联想</t>
  </si>
  <si>
    <t>CY-016</t>
  </si>
  <si>
    <t>笔记本电脑（裸）</t>
  </si>
  <si>
    <t>惠普</t>
  </si>
  <si>
    <t>CY-004</t>
  </si>
  <si>
    <t>余成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</si>
</sst>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8"/>
      <color theme="1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2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11" borderId="12" applyNumberFormat="0" applyAlignment="0" applyProtection="0">
      <alignment vertical="center"/>
    </xf>
    <xf numFmtId="0" fontId="23" fillId="12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8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0" fillId="0" borderId="6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B9" sqref="B9:B14"/>
    </sheetView>
  </sheetViews>
  <sheetFormatPr defaultColWidth="12.875" defaultRowHeight="24" customHeight="1"/>
  <cols>
    <col min="1" max="2" width="12.875" style="33" customWidth="1"/>
    <col min="3" max="3" width="16.625" style="33" customWidth="1"/>
    <col min="4" max="16384" width="12.875" style="33" customWidth="1"/>
  </cols>
  <sheetData>
    <row r="1" customHeight="1" spans="1:9">
      <c r="A1" s="34" t="s">
        <v>0</v>
      </c>
      <c r="B1" s="35"/>
      <c r="C1" s="35"/>
      <c r="D1" s="35"/>
      <c r="E1" s="35"/>
      <c r="F1" s="35"/>
      <c r="G1" s="35"/>
      <c r="H1" s="35"/>
      <c r="I1" s="36"/>
    </row>
    <row r="2" customHeight="1" spans="1:9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  <c r="G2" s="38" t="s">
        <v>7</v>
      </c>
      <c r="H2" s="38" t="s">
        <v>8</v>
      </c>
      <c r="I2" s="39" t="s">
        <v>9</v>
      </c>
    </row>
    <row r="3" customHeight="1" spans="1:9">
      <c r="A3" s="38">
        <v>1</v>
      </c>
      <c r="B3" s="40" t="s">
        <v>10</v>
      </c>
      <c r="C3" s="41" t="s">
        <v>11</v>
      </c>
      <c r="D3" s="41" t="s">
        <v>12</v>
      </c>
      <c r="E3" s="41" t="s">
        <v>13</v>
      </c>
      <c r="F3" s="41">
        <v>41</v>
      </c>
      <c r="G3" s="38">
        <v>548</v>
      </c>
      <c r="H3" s="38">
        <v>64</v>
      </c>
      <c r="I3" s="42">
        <f t="shared" ref="I3:I14" si="0">F3+G3-H3</f>
        <v>525</v>
      </c>
    </row>
    <row r="4" customHeight="1" spans="1:9">
      <c r="A4" s="38">
        <v>2</v>
      </c>
      <c r="B4" s="40" t="s">
        <v>10</v>
      </c>
      <c r="C4" s="41" t="s">
        <v>14</v>
      </c>
      <c r="D4" s="41" t="s">
        <v>15</v>
      </c>
      <c r="E4" s="41" t="s">
        <v>13</v>
      </c>
      <c r="F4" s="41">
        <v>4</v>
      </c>
      <c r="G4" s="38">
        <v>0</v>
      </c>
      <c r="H4" s="38"/>
      <c r="I4" s="42">
        <v>4</v>
      </c>
    </row>
    <row r="5" customHeight="1" spans="1:9">
      <c r="A5" s="38">
        <v>3</v>
      </c>
      <c r="B5" s="40" t="s">
        <v>10</v>
      </c>
      <c r="C5" s="41" t="s">
        <v>16</v>
      </c>
      <c r="D5" s="41" t="s">
        <v>17</v>
      </c>
      <c r="E5" s="41" t="s">
        <v>13</v>
      </c>
      <c r="F5" s="41">
        <v>0</v>
      </c>
      <c r="G5" s="38">
        <v>24</v>
      </c>
      <c r="H5" s="38">
        <v>12</v>
      </c>
      <c r="I5" s="42">
        <f t="shared" si="0"/>
        <v>12</v>
      </c>
    </row>
    <row r="6" customHeight="1" spans="1:9">
      <c r="A6" s="38">
        <v>4</v>
      </c>
      <c r="B6" s="40" t="s">
        <v>10</v>
      </c>
      <c r="C6" s="41" t="s">
        <v>18</v>
      </c>
      <c r="D6" s="41" t="s">
        <v>19</v>
      </c>
      <c r="E6" s="41" t="s">
        <v>20</v>
      </c>
      <c r="F6" s="41">
        <v>8</v>
      </c>
      <c r="G6" s="38">
        <v>0</v>
      </c>
      <c r="H6" s="38">
        <v>0</v>
      </c>
      <c r="I6" s="42">
        <f t="shared" si="0"/>
        <v>8</v>
      </c>
    </row>
    <row r="7" customHeight="1" spans="1:9">
      <c r="A7" s="38">
        <v>5</v>
      </c>
      <c r="B7" s="40" t="s">
        <v>10</v>
      </c>
      <c r="C7" s="41" t="s">
        <v>21</v>
      </c>
      <c r="D7" s="41" t="s">
        <v>22</v>
      </c>
      <c r="E7" s="41" t="s">
        <v>20</v>
      </c>
      <c r="F7" s="41">
        <v>9</v>
      </c>
      <c r="G7" s="38">
        <v>0</v>
      </c>
      <c r="H7" s="38"/>
      <c r="I7" s="42">
        <f t="shared" si="0"/>
        <v>9</v>
      </c>
    </row>
    <row r="8" customHeight="1" spans="1:9">
      <c r="A8" s="38">
        <v>6</v>
      </c>
      <c r="B8" s="40" t="s">
        <v>10</v>
      </c>
      <c r="C8" s="41" t="s">
        <v>23</v>
      </c>
      <c r="D8" s="41" t="s">
        <v>19</v>
      </c>
      <c r="E8" s="41" t="s">
        <v>20</v>
      </c>
      <c r="F8" s="41">
        <v>3</v>
      </c>
      <c r="G8" s="38">
        <v>0</v>
      </c>
      <c r="H8" s="38"/>
      <c r="I8" s="42">
        <f t="shared" si="0"/>
        <v>3</v>
      </c>
    </row>
    <row r="9" customHeight="1" spans="1:9">
      <c r="A9" s="38">
        <v>7</v>
      </c>
      <c r="B9" s="40" t="s">
        <v>10</v>
      </c>
      <c r="C9" s="43" t="s">
        <v>24</v>
      </c>
      <c r="D9" s="41"/>
      <c r="E9" s="41" t="s">
        <v>25</v>
      </c>
      <c r="F9" s="41">
        <v>1</v>
      </c>
      <c r="G9" s="38">
        <v>0</v>
      </c>
      <c r="H9" s="38"/>
      <c r="I9" s="42">
        <f t="shared" si="0"/>
        <v>1</v>
      </c>
    </row>
    <row r="10" customHeight="1" spans="1:9">
      <c r="A10" s="38">
        <v>8</v>
      </c>
      <c r="B10" s="40" t="s">
        <v>10</v>
      </c>
      <c r="C10" s="41" t="s">
        <v>26</v>
      </c>
      <c r="D10" s="41" t="s">
        <v>27</v>
      </c>
      <c r="E10" s="41" t="s">
        <v>13</v>
      </c>
      <c r="F10" s="41">
        <v>6</v>
      </c>
      <c r="G10" s="38">
        <v>0</v>
      </c>
      <c r="H10" s="38"/>
      <c r="I10" s="42">
        <f t="shared" si="0"/>
        <v>6</v>
      </c>
    </row>
    <row r="11" customHeight="1" spans="1:9">
      <c r="A11" s="38">
        <v>9</v>
      </c>
      <c r="B11" s="44" t="s">
        <v>28</v>
      </c>
      <c r="C11" s="41" t="s">
        <v>29</v>
      </c>
      <c r="D11" s="45"/>
      <c r="E11" s="46" t="s">
        <v>30</v>
      </c>
      <c r="F11" s="46">
        <v>20</v>
      </c>
      <c r="G11" s="38">
        <v>0</v>
      </c>
      <c r="H11" s="38"/>
      <c r="I11" s="47">
        <f t="shared" si="0"/>
        <v>20</v>
      </c>
    </row>
    <row r="12" customHeight="1" spans="1:9">
      <c r="A12" s="38">
        <v>10</v>
      </c>
      <c r="B12" s="44" t="s">
        <v>28</v>
      </c>
      <c r="C12" s="41" t="s">
        <v>31</v>
      </c>
      <c r="D12" s="45"/>
      <c r="E12" s="46" t="s">
        <v>32</v>
      </c>
      <c r="F12" s="46">
        <v>5</v>
      </c>
      <c r="G12" s="38">
        <v>0</v>
      </c>
      <c r="H12" s="38"/>
      <c r="I12" s="47">
        <f t="shared" si="0"/>
        <v>5</v>
      </c>
    </row>
    <row r="13" customHeight="1" spans="1:9">
      <c r="A13" s="38">
        <v>11</v>
      </c>
      <c r="B13" s="44" t="s">
        <v>28</v>
      </c>
      <c r="C13" s="41" t="s">
        <v>33</v>
      </c>
      <c r="D13" s="45"/>
      <c r="E13" s="46" t="s">
        <v>32</v>
      </c>
      <c r="F13" s="46">
        <v>1</v>
      </c>
      <c r="G13" s="38">
        <v>0</v>
      </c>
      <c r="H13" s="38"/>
      <c r="I13" s="47">
        <f t="shared" si="0"/>
        <v>1</v>
      </c>
    </row>
    <row r="14" customHeight="1" spans="1:9">
      <c r="A14" s="38">
        <v>12</v>
      </c>
      <c r="B14" s="44" t="s">
        <v>28</v>
      </c>
      <c r="C14" s="41" t="s">
        <v>34</v>
      </c>
      <c r="D14" s="45"/>
      <c r="E14" s="46" t="s">
        <v>35</v>
      </c>
      <c r="F14" s="46">
        <v>4</v>
      </c>
      <c r="G14" s="38">
        <v>0</v>
      </c>
      <c r="H14" s="38"/>
      <c r="I14" s="47">
        <f t="shared" si="0"/>
        <v>4</v>
      </c>
    </row>
  </sheetData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A15" sqref="A15"/>
    </sheetView>
  </sheetViews>
  <sheetFormatPr defaultColWidth="15.625" defaultRowHeight="16.8"/>
  <cols>
    <col min="1" max="16384" width="15.625" customWidth="1"/>
  </cols>
  <sheetData>
    <row r="1" ht="26" spans="1:15">
      <c r="A1" s="24" t="s">
        <v>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>
      <c r="A2" s="25" t="s">
        <v>37</v>
      </c>
      <c r="B2" s="26" t="s">
        <v>4</v>
      </c>
      <c r="C2" s="26" t="s">
        <v>5</v>
      </c>
      <c r="D2" s="27" t="s">
        <v>38</v>
      </c>
      <c r="E2" s="14" t="s">
        <v>39</v>
      </c>
      <c r="F2" s="14"/>
      <c r="G2" s="14"/>
      <c r="H2" s="14"/>
      <c r="I2" s="14"/>
      <c r="J2" s="27" t="s">
        <v>40</v>
      </c>
      <c r="K2" s="27"/>
      <c r="L2" s="27"/>
      <c r="M2" s="27"/>
      <c r="N2" s="27"/>
      <c r="O2" s="27" t="s">
        <v>41</v>
      </c>
    </row>
    <row r="3" spans="1:15">
      <c r="A3" s="28"/>
      <c r="B3" s="29"/>
      <c r="C3" s="29"/>
      <c r="D3" s="27" t="s">
        <v>42</v>
      </c>
      <c r="E3" s="27" t="s">
        <v>43</v>
      </c>
      <c r="F3" s="27" t="s">
        <v>44</v>
      </c>
      <c r="G3" s="27" t="s">
        <v>45</v>
      </c>
      <c r="H3" s="27" t="s">
        <v>46</v>
      </c>
      <c r="I3" s="17" t="s">
        <v>47</v>
      </c>
      <c r="J3" s="27" t="s">
        <v>43</v>
      </c>
      <c r="K3" s="27" t="s">
        <v>44</v>
      </c>
      <c r="L3" s="27" t="s">
        <v>45</v>
      </c>
      <c r="M3" s="27" t="s">
        <v>46</v>
      </c>
      <c r="N3" s="18" t="s">
        <v>48</v>
      </c>
      <c r="O3" s="19" t="s">
        <v>49</v>
      </c>
    </row>
    <row r="4" spans="1:15">
      <c r="A4" s="30" t="s">
        <v>11</v>
      </c>
      <c r="B4" s="20" t="s">
        <v>12</v>
      </c>
      <c r="C4" s="20" t="s">
        <v>13</v>
      </c>
      <c r="D4" s="20">
        <v>41</v>
      </c>
      <c r="E4" s="20"/>
      <c r="F4" s="20">
        <v>68</v>
      </c>
      <c r="G4" s="20">
        <v>480</v>
      </c>
      <c r="H4" s="20"/>
      <c r="I4" s="20">
        <f t="shared" ref="I4:I11" si="0">E4+F4+G4+H4</f>
        <v>548</v>
      </c>
      <c r="J4" s="20">
        <v>6</v>
      </c>
      <c r="K4" s="31">
        <v>12</v>
      </c>
      <c r="L4" s="20">
        <v>26</v>
      </c>
      <c r="M4" s="20">
        <v>20</v>
      </c>
      <c r="N4" s="20">
        <f t="shared" ref="N4:N11" si="1">J4+K4+L4+M4</f>
        <v>64</v>
      </c>
      <c r="O4" s="20">
        <f t="shared" ref="O4:O11" si="2">D4+I4-N4</f>
        <v>525</v>
      </c>
    </row>
    <row r="5" spans="1:15">
      <c r="A5" s="30" t="s">
        <v>50</v>
      </c>
      <c r="B5" s="20" t="s">
        <v>15</v>
      </c>
      <c r="C5" s="20" t="s">
        <v>13</v>
      </c>
      <c r="D5" s="20">
        <v>4</v>
      </c>
      <c r="E5" s="20"/>
      <c r="F5" s="20"/>
      <c r="G5" s="20"/>
      <c r="H5" s="20"/>
      <c r="I5" s="20">
        <f t="shared" si="0"/>
        <v>0</v>
      </c>
      <c r="J5" s="20"/>
      <c r="K5" s="20"/>
      <c r="L5" s="20"/>
      <c r="M5" s="20"/>
      <c r="N5" s="20">
        <f t="shared" si="1"/>
        <v>0</v>
      </c>
      <c r="O5" s="20">
        <f t="shared" si="2"/>
        <v>4</v>
      </c>
    </row>
    <row r="6" spans="1:15">
      <c r="A6" s="30" t="s">
        <v>16</v>
      </c>
      <c r="B6" s="20" t="s">
        <v>17</v>
      </c>
      <c r="C6" s="20" t="s">
        <v>13</v>
      </c>
      <c r="D6" s="20">
        <v>0</v>
      </c>
      <c r="E6" s="20">
        <v>24</v>
      </c>
      <c r="F6" s="20"/>
      <c r="G6" s="20"/>
      <c r="H6" s="20"/>
      <c r="I6" s="20">
        <f t="shared" si="0"/>
        <v>24</v>
      </c>
      <c r="J6" s="20">
        <v>12</v>
      </c>
      <c r="K6" s="20"/>
      <c r="L6" s="20"/>
      <c r="M6" s="20"/>
      <c r="N6" s="20">
        <f t="shared" si="1"/>
        <v>12</v>
      </c>
      <c r="O6" s="20">
        <f t="shared" si="2"/>
        <v>12</v>
      </c>
    </row>
    <row r="7" spans="1:15">
      <c r="A7" s="30" t="s">
        <v>18</v>
      </c>
      <c r="B7" s="20" t="s">
        <v>19</v>
      </c>
      <c r="C7" s="20" t="s">
        <v>20</v>
      </c>
      <c r="D7" s="20">
        <v>8</v>
      </c>
      <c r="E7" s="20"/>
      <c r="F7" s="20"/>
      <c r="G7" s="20"/>
      <c r="H7" s="20"/>
      <c r="I7" s="20">
        <f t="shared" si="0"/>
        <v>0</v>
      </c>
      <c r="J7" s="20"/>
      <c r="K7" s="20"/>
      <c r="L7" s="20"/>
      <c r="M7" s="20"/>
      <c r="N7" s="20">
        <f t="shared" si="1"/>
        <v>0</v>
      </c>
      <c r="O7" s="20">
        <f t="shared" si="2"/>
        <v>8</v>
      </c>
    </row>
    <row r="8" spans="1:15">
      <c r="A8" s="30" t="s">
        <v>21</v>
      </c>
      <c r="B8" s="20" t="s">
        <v>22</v>
      </c>
      <c r="C8" s="20" t="s">
        <v>20</v>
      </c>
      <c r="D8" s="20">
        <v>9</v>
      </c>
      <c r="E8" s="20"/>
      <c r="F8" s="20"/>
      <c r="G8" s="20"/>
      <c r="H8" s="20"/>
      <c r="I8" s="20">
        <f t="shared" si="0"/>
        <v>0</v>
      </c>
      <c r="J8" s="20"/>
      <c r="K8" s="20"/>
      <c r="L8" s="20"/>
      <c r="M8" s="20"/>
      <c r="N8" s="20">
        <f t="shared" si="1"/>
        <v>0</v>
      </c>
      <c r="O8" s="20">
        <f t="shared" si="2"/>
        <v>9</v>
      </c>
    </row>
    <row r="9" spans="1:15">
      <c r="A9" s="30" t="s">
        <v>23</v>
      </c>
      <c r="B9" s="20" t="s">
        <v>19</v>
      </c>
      <c r="C9" s="20" t="s">
        <v>20</v>
      </c>
      <c r="D9" s="20">
        <v>3</v>
      </c>
      <c r="E9" s="20"/>
      <c r="F9" s="20"/>
      <c r="G9" s="20"/>
      <c r="H9" s="20"/>
      <c r="I9" s="20">
        <f t="shared" si="0"/>
        <v>0</v>
      </c>
      <c r="J9" s="20"/>
      <c r="K9" s="20"/>
      <c r="L9" s="20"/>
      <c r="M9" s="20"/>
      <c r="N9" s="20">
        <f t="shared" si="1"/>
        <v>0</v>
      </c>
      <c r="O9" s="20">
        <f t="shared" si="2"/>
        <v>3</v>
      </c>
    </row>
    <row r="10" spans="1:15">
      <c r="A10" s="32" t="s">
        <v>24</v>
      </c>
      <c r="B10" s="20"/>
      <c r="C10" s="20" t="s">
        <v>25</v>
      </c>
      <c r="D10" s="20">
        <v>1</v>
      </c>
      <c r="E10" s="20"/>
      <c r="F10" s="20"/>
      <c r="G10" s="20"/>
      <c r="H10" s="20"/>
      <c r="I10" s="20">
        <f t="shared" si="0"/>
        <v>0</v>
      </c>
      <c r="J10" s="20"/>
      <c r="K10" s="20"/>
      <c r="L10" s="20"/>
      <c r="M10" s="20"/>
      <c r="N10" s="20">
        <f t="shared" si="1"/>
        <v>0</v>
      </c>
      <c r="O10" s="20">
        <f t="shared" si="2"/>
        <v>1</v>
      </c>
    </row>
    <row r="11" spans="1:15">
      <c r="A11" s="20" t="s">
        <v>26</v>
      </c>
      <c r="B11" s="20" t="s">
        <v>27</v>
      </c>
      <c r="C11" s="20" t="s">
        <v>13</v>
      </c>
      <c r="D11" s="20">
        <v>6</v>
      </c>
      <c r="E11" s="20"/>
      <c r="F11" s="20"/>
      <c r="G11" s="20"/>
      <c r="H11" s="20"/>
      <c r="I11" s="20">
        <f t="shared" si="0"/>
        <v>0</v>
      </c>
      <c r="J11" s="20"/>
      <c r="K11" s="20"/>
      <c r="L11" s="20"/>
      <c r="M11" s="20"/>
      <c r="N11" s="20">
        <f t="shared" si="1"/>
        <v>0</v>
      </c>
      <c r="O11" s="20">
        <f t="shared" si="2"/>
        <v>6</v>
      </c>
    </row>
  </sheetData>
  <mergeCells count="6">
    <mergeCell ref="A1:O1"/>
    <mergeCell ref="E2:I2"/>
    <mergeCell ref="J2:N2"/>
    <mergeCell ref="A2:A3"/>
    <mergeCell ref="B2:B3"/>
    <mergeCell ref="C2:C3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selection activeCell="F38" sqref="F38"/>
    </sheetView>
  </sheetViews>
  <sheetFormatPr defaultColWidth="9" defaultRowHeight="16.8" outlineLevelRow="7"/>
  <sheetData>
    <row r="1" ht="26" spans="1:17">
      <c r="A1" s="10" t="s">
        <v>51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>
      <c r="A2" s="11" t="s">
        <v>37</v>
      </c>
      <c r="B2" s="12" t="s">
        <v>4</v>
      </c>
      <c r="C2" s="13" t="s">
        <v>5</v>
      </c>
      <c r="D2" s="11" t="s">
        <v>38</v>
      </c>
      <c r="E2" s="14" t="s">
        <v>39</v>
      </c>
      <c r="F2" s="14"/>
      <c r="G2" s="14"/>
      <c r="H2" s="14"/>
      <c r="I2" s="14"/>
      <c r="J2" s="14"/>
      <c r="K2" s="11" t="s">
        <v>40</v>
      </c>
      <c r="L2" s="11"/>
      <c r="M2" s="11"/>
      <c r="N2" s="11"/>
      <c r="O2" s="11"/>
      <c r="P2" s="11"/>
      <c r="Q2" s="11" t="s">
        <v>41</v>
      </c>
    </row>
    <row r="3" spans="1:17">
      <c r="A3" s="11"/>
      <c r="B3" s="15"/>
      <c r="C3" s="16"/>
      <c r="D3" s="11" t="s">
        <v>42</v>
      </c>
      <c r="E3" s="11" t="s">
        <v>43</v>
      </c>
      <c r="F3" s="11" t="s">
        <v>44</v>
      </c>
      <c r="G3" s="11" t="s">
        <v>45</v>
      </c>
      <c r="H3" s="11" t="s">
        <v>46</v>
      </c>
      <c r="I3" s="11" t="s">
        <v>52</v>
      </c>
      <c r="J3" s="17" t="s">
        <v>47</v>
      </c>
      <c r="K3" s="11" t="s">
        <v>43</v>
      </c>
      <c r="L3" s="11" t="s">
        <v>44</v>
      </c>
      <c r="M3" s="11" t="s">
        <v>45</v>
      </c>
      <c r="N3" s="11" t="s">
        <v>46</v>
      </c>
      <c r="O3" s="11" t="s">
        <v>52</v>
      </c>
      <c r="P3" s="18" t="s">
        <v>48</v>
      </c>
      <c r="Q3" s="19" t="s">
        <v>49</v>
      </c>
    </row>
    <row r="4" spans="1:17">
      <c r="A4" s="20" t="s">
        <v>53</v>
      </c>
      <c r="B4" s="21" t="s">
        <v>54</v>
      </c>
      <c r="C4" s="22" t="s">
        <v>25</v>
      </c>
      <c r="D4" s="22">
        <v>40</v>
      </c>
      <c r="E4" s="22"/>
      <c r="F4" s="22"/>
      <c r="G4" s="22"/>
      <c r="H4" s="22"/>
      <c r="I4" s="22"/>
      <c r="J4" s="22">
        <f t="shared" ref="J4:J8" si="0">E4+F4+G4+H4+I4</f>
        <v>0</v>
      </c>
      <c r="K4" s="22"/>
      <c r="L4" s="22"/>
      <c r="M4" s="22"/>
      <c r="N4" s="22"/>
      <c r="O4" s="22"/>
      <c r="P4" s="22">
        <f t="shared" ref="P4:P8" si="1">K4+L4+M4+N4+O4</f>
        <v>0</v>
      </c>
      <c r="Q4" s="23">
        <f t="shared" ref="Q4:Q8" si="2">D4+J4-P4</f>
        <v>40</v>
      </c>
    </row>
    <row r="5" spans="1:17">
      <c r="A5" s="20" t="s">
        <v>55</v>
      </c>
      <c r="B5" s="48" t="s">
        <v>56</v>
      </c>
      <c r="C5" s="22" t="s">
        <v>57</v>
      </c>
      <c r="D5" s="22">
        <v>2</v>
      </c>
      <c r="E5" s="22"/>
      <c r="F5" s="22"/>
      <c r="G5" s="22"/>
      <c r="H5" s="22"/>
      <c r="I5" s="22"/>
      <c r="J5" s="22">
        <f t="shared" si="0"/>
        <v>0</v>
      </c>
      <c r="K5" s="22"/>
      <c r="L5" s="22"/>
      <c r="M5" s="22"/>
      <c r="N5" s="22"/>
      <c r="O5" s="22"/>
      <c r="P5" s="22">
        <f t="shared" si="1"/>
        <v>0</v>
      </c>
      <c r="Q5" s="23">
        <v>2</v>
      </c>
    </row>
    <row r="6" spans="1:17">
      <c r="A6" s="20" t="s">
        <v>58</v>
      </c>
      <c r="B6" s="21" t="s">
        <v>59</v>
      </c>
      <c r="C6" s="22" t="s">
        <v>57</v>
      </c>
      <c r="D6" s="22">
        <v>2</v>
      </c>
      <c r="E6" s="22"/>
      <c r="F6" s="22"/>
      <c r="G6" s="22"/>
      <c r="H6" s="22"/>
      <c r="I6" s="22"/>
      <c r="J6" s="22">
        <f t="shared" si="0"/>
        <v>0</v>
      </c>
      <c r="K6" s="22"/>
      <c r="L6" s="22"/>
      <c r="M6" s="22"/>
      <c r="N6" s="22"/>
      <c r="O6" s="22"/>
      <c r="P6" s="22">
        <f t="shared" si="1"/>
        <v>0</v>
      </c>
      <c r="Q6" s="23">
        <f t="shared" si="2"/>
        <v>2</v>
      </c>
    </row>
    <row r="7" spans="1:17">
      <c r="A7" s="20" t="s">
        <v>60</v>
      </c>
      <c r="B7" s="21" t="s">
        <v>61</v>
      </c>
      <c r="C7" s="22" t="s">
        <v>25</v>
      </c>
      <c r="D7" s="22">
        <v>13</v>
      </c>
      <c r="E7" s="22"/>
      <c r="F7" s="22"/>
      <c r="G7" s="22"/>
      <c r="H7" s="22"/>
      <c r="I7" s="22"/>
      <c r="J7" s="22">
        <f t="shared" si="0"/>
        <v>0</v>
      </c>
      <c r="K7" s="22"/>
      <c r="L7" s="22"/>
      <c r="M7" s="22"/>
      <c r="N7" s="22"/>
      <c r="O7" s="22"/>
      <c r="P7" s="22">
        <f t="shared" si="1"/>
        <v>0</v>
      </c>
      <c r="Q7" s="23">
        <f t="shared" si="2"/>
        <v>13</v>
      </c>
    </row>
    <row r="8" spans="1:17">
      <c r="A8" s="20" t="s">
        <v>62</v>
      </c>
      <c r="B8" s="21" t="s">
        <v>63</v>
      </c>
      <c r="C8" s="22" t="s">
        <v>64</v>
      </c>
      <c r="D8" s="22">
        <v>2</v>
      </c>
      <c r="E8" s="22"/>
      <c r="F8" s="22"/>
      <c r="G8" s="22"/>
      <c r="H8" s="22"/>
      <c r="I8" s="22"/>
      <c r="J8" s="22">
        <f t="shared" si="0"/>
        <v>0</v>
      </c>
      <c r="K8" s="22"/>
      <c r="L8" s="22"/>
      <c r="M8" s="22"/>
      <c r="N8" s="22"/>
      <c r="O8" s="22"/>
      <c r="P8" s="22">
        <f t="shared" si="1"/>
        <v>0</v>
      </c>
      <c r="Q8" s="23">
        <f t="shared" si="2"/>
        <v>2</v>
      </c>
    </row>
  </sheetData>
  <mergeCells count="6">
    <mergeCell ref="A1:Q1"/>
    <mergeCell ref="E2:J2"/>
    <mergeCell ref="K2:P2"/>
    <mergeCell ref="A2:A3"/>
    <mergeCell ref="B2:B3"/>
    <mergeCell ref="C2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15" sqref="A15"/>
    </sheetView>
  </sheetViews>
  <sheetFormatPr defaultColWidth="14.5" defaultRowHeight="16.8" outlineLevelRow="7"/>
  <cols>
    <col min="1" max="8" width="14.5" customWidth="1"/>
    <col min="9" max="9" width="15.75" customWidth="1"/>
    <col min="10" max="16384" width="14.5" customWidth="1"/>
  </cols>
  <sheetData>
    <row r="1" ht="42" customHeight="1" spans="1:10">
      <c r="A1" s="1" t="s">
        <v>65</v>
      </c>
      <c r="B1" s="2"/>
      <c r="C1" s="1"/>
      <c r="D1" s="1"/>
      <c r="E1" s="1"/>
      <c r="F1" s="1"/>
      <c r="G1" s="1"/>
      <c r="H1" s="1"/>
      <c r="I1" s="1"/>
      <c r="J1" s="1"/>
    </row>
    <row r="2" spans="1:10">
      <c r="A2" s="3" t="s">
        <v>1</v>
      </c>
      <c r="B2" s="4" t="s">
        <v>66</v>
      </c>
      <c r="C2" s="3" t="s">
        <v>4</v>
      </c>
      <c r="D2" s="3" t="s">
        <v>5</v>
      </c>
      <c r="E2" s="3" t="s">
        <v>67</v>
      </c>
      <c r="F2" s="5" t="s">
        <v>68</v>
      </c>
      <c r="G2" s="5" t="s">
        <v>69</v>
      </c>
      <c r="H2" s="5" t="s">
        <v>70</v>
      </c>
      <c r="I2" s="3" t="s">
        <v>71</v>
      </c>
      <c r="J2" s="3" t="s">
        <v>72</v>
      </c>
    </row>
    <row r="3" ht="24" customHeight="1" spans="1:10">
      <c r="A3" s="3"/>
      <c r="B3" s="4"/>
      <c r="C3" s="3"/>
      <c r="D3" s="3"/>
      <c r="E3" s="3"/>
      <c r="F3" s="6"/>
      <c r="G3" s="6"/>
      <c r="H3" s="6"/>
      <c r="I3" s="3"/>
      <c r="J3" s="3"/>
    </row>
    <row r="4" ht="34" spans="1:10">
      <c r="A4" s="7">
        <v>1</v>
      </c>
      <c r="B4" s="8" t="s">
        <v>73</v>
      </c>
      <c r="C4" s="7" t="s">
        <v>74</v>
      </c>
      <c r="D4" s="7" t="s">
        <v>75</v>
      </c>
      <c r="E4" s="7">
        <v>1</v>
      </c>
      <c r="F4" s="7" t="s">
        <v>76</v>
      </c>
      <c r="G4" s="7">
        <v>202605</v>
      </c>
      <c r="H4" s="7" t="s">
        <v>77</v>
      </c>
      <c r="I4" s="7" t="s">
        <v>78</v>
      </c>
      <c r="J4" s="7"/>
    </row>
    <row r="5" ht="34" spans="1:10">
      <c r="A5" s="7">
        <v>2</v>
      </c>
      <c r="B5" s="8" t="s">
        <v>73</v>
      </c>
      <c r="C5" s="7" t="s">
        <v>79</v>
      </c>
      <c r="D5" s="7" t="s">
        <v>75</v>
      </c>
      <c r="E5" s="7">
        <v>1</v>
      </c>
      <c r="F5" s="7" t="s">
        <v>76</v>
      </c>
      <c r="G5" s="7">
        <v>202605</v>
      </c>
      <c r="H5" s="7" t="s">
        <v>80</v>
      </c>
      <c r="I5" s="7" t="s">
        <v>81</v>
      </c>
      <c r="J5" s="7"/>
    </row>
    <row r="6" ht="34" spans="1:10">
      <c r="A6" s="7">
        <v>3</v>
      </c>
      <c r="B6" s="8" t="s">
        <v>73</v>
      </c>
      <c r="C6" s="7" t="s">
        <v>79</v>
      </c>
      <c r="D6" s="7" t="s">
        <v>75</v>
      </c>
      <c r="E6" s="7">
        <v>1</v>
      </c>
      <c r="F6" s="7" t="s">
        <v>76</v>
      </c>
      <c r="G6" s="7">
        <v>202605</v>
      </c>
      <c r="H6" s="7" t="s">
        <v>82</v>
      </c>
      <c r="I6" s="9" t="s">
        <v>83</v>
      </c>
      <c r="J6" s="7"/>
    </row>
    <row r="7" ht="34" spans="1:10">
      <c r="A7" s="7">
        <v>4</v>
      </c>
      <c r="B7" s="8" t="s">
        <v>73</v>
      </c>
      <c r="C7" s="7" t="s">
        <v>84</v>
      </c>
      <c r="D7" s="7" t="s">
        <v>75</v>
      </c>
      <c r="E7" s="7">
        <v>1</v>
      </c>
      <c r="F7" s="7" t="s">
        <v>76</v>
      </c>
      <c r="G7" s="7">
        <v>202605</v>
      </c>
      <c r="H7" s="7" t="s">
        <v>85</v>
      </c>
      <c r="I7" s="9"/>
      <c r="J7" s="7"/>
    </row>
    <row r="8" ht="34" spans="1:10">
      <c r="A8" s="7">
        <v>5</v>
      </c>
      <c r="B8" s="8" t="s">
        <v>86</v>
      </c>
      <c r="C8" s="7" t="s">
        <v>87</v>
      </c>
      <c r="D8" s="7" t="s">
        <v>75</v>
      </c>
      <c r="E8" s="7">
        <v>1</v>
      </c>
      <c r="F8" s="7" t="s">
        <v>76</v>
      </c>
      <c r="G8" s="7">
        <v>202605</v>
      </c>
      <c r="H8" s="7" t="s">
        <v>88</v>
      </c>
      <c r="I8" s="7" t="s">
        <v>89</v>
      </c>
      <c r="J8" s="7"/>
    </row>
  </sheetData>
  <mergeCells count="11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进销台账</vt:lpstr>
      <vt:lpstr>行政仓库</vt:lpstr>
      <vt:lpstr>行政办公用品</vt:lpstr>
      <vt:lpstr>产研中心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狐狸先生</cp:lastModifiedBy>
  <dcterms:created xsi:type="dcterms:W3CDTF">2026-06-03T17:57:00Z</dcterms:created>
  <dcterms:modified xsi:type="dcterms:W3CDTF">2026-06-04T09:36:03Z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66004EBBE17040F0B028C25EBAA9615A_11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